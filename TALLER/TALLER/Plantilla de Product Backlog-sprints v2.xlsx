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gid\OneDrive\Documentos\INACAP\SEMESTRE 3\Taller de desarrollo de aplicaciones\INFORME 3\"/>
    </mc:Choice>
  </mc:AlternateContent>
  <xr:revisionPtr revIDLastSave="0" documentId="13_ncr:1_{9AB7431A-5D70-4F1D-B498-B7D70525E00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 Backlog" sheetId="1" r:id="rId1"/>
    <sheet name="Product Backlog Corregido" sheetId="2" r:id="rId2"/>
    <sheet name="Product Backlog Corregido 2.0" sheetId="3" state="hidden" r:id="rId3"/>
    <sheet name="SPRINT" sheetId="5" r:id="rId4"/>
  </sheets>
  <definedNames>
    <definedName name="_xlnm.Print_Area" localSheetId="0">'Product Backlog'!$A$1:$I$20</definedName>
    <definedName name="_xlnm.Print_Area" localSheetId="1">'Product Backlog Corregido'!$A$1:$J$20</definedName>
    <definedName name="_xlnm.Print_Area" localSheetId="2">'Product Backlog Corregido 2.0'!$A$1:$J$20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1" i="5" l="1"/>
  <c r="C10" i="5"/>
  <c r="C11" i="5" s="1"/>
  <c r="C12" i="5" s="1"/>
  <c r="C13" i="5" s="1"/>
  <c r="C14" i="5" s="1"/>
  <c r="C15" i="5" s="1"/>
  <c r="C16" i="5" s="1"/>
  <c r="C17" i="5" s="1"/>
  <c r="C18" i="5" s="1"/>
  <c r="C19" i="5" s="1"/>
  <c r="G45" i="5"/>
  <c r="G3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tc={D935C162-DD8E-4C5C-B6B9-2515637B592C}</author>
    <author>tc={6B7BD327-1B64-494E-988F-3BE773155B66}</author>
    <author>tc={5C770E13-7D6D-4DB8-AAF9-C223675FB5D9}</author>
    <author>tc={31A02DA5-502B-4CF5-BBAB-8547C011791A}</author>
  </authors>
  <commentList>
    <comment ref="K4" authorId="0" shapeId="0" xr:uid="{D935C162-DD8E-4C5C-B6B9-2515637B59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contempla la creacion de softwares</t>
      </text>
    </comment>
    <comment ref="K5" authorId="1" shapeId="0" xr:uid="{6B7BD327-1B64-494E-988F-3BE773155B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consiguiente, se podra realizar los listados solicitados por el cliente junto a cambios de estado(inactividad del empleado)</t>
      </text>
    </comment>
    <comment ref="K7" authorId="2" shapeId="0" xr:uid="{5C770E13-7D6D-4DB8-AAF9-C223675FB5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este sprint, se ejecutaran los softwares.... En ellos se podran agregar a los trabajadores, cargos o area..... Actualizaciones(laborales/personales)</t>
      </text>
    </comment>
    <comment ref="K15" authorId="3" shapeId="0" xr:uid="{31A02DA5-502B-4CF5-BBAB-8547C01179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este sprint, se desarrollan tareas mas aplicables al cliente. En ella, Se prueban funciones mas detalladas.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tc={C6013460-DFBC-4711-88BE-427E4D332D5A}</author>
    <author>tc={9AFB9DF7-CA8F-4432-AD63-6E4D0B56D40E}</author>
    <author>tc={63E8C9C2-7EF0-4672-B38F-F56FBCC7768F}</author>
    <author>tc={9E27BA8D-3812-4FE3-B84F-AAD754F1E470}</author>
  </authors>
  <commentList>
    <comment ref="K4" authorId="0" shapeId="0" xr:uid="{C6013460-DFBC-4711-88BE-427E4D332D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contempla la creacion de softwares</t>
      </text>
    </comment>
    <comment ref="K5" authorId="1" shapeId="0" xr:uid="{9AFB9DF7-CA8F-4432-AD63-6E4D0B56D4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consiguiente, se podra realizar los listados solicitados por el cliente junto a cambios de estado(inactividad del empleado)</t>
      </text>
    </comment>
    <comment ref="K7" authorId="2" shapeId="0" xr:uid="{63E8C9C2-7EF0-4672-B38F-F56FBCC776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este sprint, se ejecutaran los softwares.... En ellos se podran agregar a los trabajadores, cargos o area..... Actualizaciones(laborales/personales)</t>
      </text>
    </comment>
    <comment ref="K15" authorId="3" shapeId="0" xr:uid="{9E27BA8D-3812-4FE3-B84F-AAD754F1E4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este sprint, se desarrollan tareas mas aplicables al cliente. En ella, Se prueban funciones mas detalladas.</t>
      </text>
    </comment>
  </commentList>
</comments>
</file>

<file path=xl/sharedStrings.xml><?xml version="1.0" encoding="utf-8"?>
<sst xmlns="http://schemas.openxmlformats.org/spreadsheetml/2006/main" count="387" uniqueCount="131">
  <si>
    <t>Pila de Producto (Product Backlog)</t>
  </si>
  <si>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</si>
  <si>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</si>
  <si>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</si>
  <si>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</si>
  <si>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</si>
  <si>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</si>
  <si>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</si>
  <si>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</si>
  <si>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HU-0001</t>
  </si>
  <si>
    <t>Como cualquier rol necesito ingresar a la plataforma y ver las funciones asignadas por rol, con la finalidad de utilizar la plataforma.</t>
  </si>
  <si>
    <t>Acceder.</t>
  </si>
  <si>
    <t>En proceso</t>
  </si>
  <si>
    <t xml:space="preserve">Medio </t>
  </si>
  <si>
    <t>Debe</t>
  </si>
  <si>
    <t>HU-0002</t>
  </si>
  <si>
    <t>Como personal de RR.HH, necesito listar los trabajadores con la finalidad de ver los trabajadores registrados en la empresa.</t>
  </si>
  <si>
    <t>Lista personal básica.</t>
  </si>
  <si>
    <t>Pendiente</t>
  </si>
  <si>
    <t>Bajo</t>
  </si>
  <si>
    <t>Debería</t>
  </si>
  <si>
    <t>HU-0003</t>
  </si>
  <si>
    <t>Como jefe de RR.HH, necesito listar los trabajadores filtrado por sexo, cargo, área y departamento al que pertenece, con la finalidad de ver un registro más detallado.</t>
  </si>
  <si>
    <t>Lista personal avanzada.</t>
  </si>
  <si>
    <t>HU-0004</t>
  </si>
  <si>
    <t>Como personal de RR.HH, necesito registrar trabajadores en el sistema, con la finalidad de registrar el ingreso de un trabajador.</t>
  </si>
  <si>
    <t>Agregar trabajador.</t>
  </si>
  <si>
    <t>Medio</t>
  </si>
  <si>
    <t>HU-0005</t>
  </si>
  <si>
    <t>Como jefe de RR.HH, necesito registrar un nuevo cargo o área en caso que un personal deba registrar un trabajador a un área o cargo que no exista previamente en el sistema.</t>
  </si>
  <si>
    <t>Agregar cargo o área.</t>
  </si>
  <si>
    <t>HU-0006</t>
  </si>
  <si>
    <t>Como jefe de RR.HH, necesito cambiar el estado de un trabajador (activo o inactivo), con la finalidad de registrar si el trabajador deja o vuelve a trabajar y así evitar borrar el registro.</t>
  </si>
  <si>
    <t>Cambiar el estado.</t>
  </si>
  <si>
    <t>HU-0007</t>
  </si>
  <si>
    <t>Como personal de RR.HH, necesito cambiar los datos laborales (Cargo, Fecha de ingreso, Área y departamento) de un trabajador, con la finalidad de actualizar los cambios que se presenten en la organización.</t>
  </si>
  <si>
    <t>Actualizar datos laborales.</t>
  </si>
  <si>
    <t>Alto</t>
  </si>
  <si>
    <t>HU-0008</t>
  </si>
  <si>
    <t>Como trabajador, necesito actualizar mis datos personales (Nombre completo, sexo, dirección y teléfono), con la finalidad de mantener actualizada a la empresa de cualquier cambio en mi información de contacto.</t>
  </si>
  <si>
    <t>Actualizar datos personales.</t>
  </si>
  <si>
    <t>HU-0009</t>
  </si>
  <si>
    <t>Como trabajador, necesito agregar, modificar o eliminar mis datos opcionales (cargas familiares o contactos de emergencia),con la finalidad de mantener actualizada a la empresa de cualquier cambio en mis contactos de emergencia o mis cargas familiares.</t>
  </si>
  <si>
    <t>Actualizar datos opcionales.</t>
  </si>
  <si>
    <t>HU-0010</t>
  </si>
  <si>
    <t>Como trabajador, necesito ver los registros de mi perfil (datos laborales, personales u opcionales), con la finalidad de informarme de cuales son mis registros en el sistema.</t>
  </si>
  <si>
    <t>Consultar perfil.</t>
  </si>
  <si>
    <t>Podría</t>
  </si>
  <si>
    <t>HU-0011</t>
  </si>
  <si>
    <t>Como cualquier rol necesito cambiar la contraseña de mi cuenta, con la finalidad de usar una clave más fácil de recordar.</t>
  </si>
  <si>
    <t>Cambiar clave</t>
  </si>
  <si>
    <t>HU-0012</t>
  </si>
  <si>
    <t>Como personal de RR.HH, necesito reestablecer la clave de un trabajador, con la finalidad de que este puede acceder a la plataforma en caso que haya olvidado su clave.</t>
  </si>
  <si>
    <t>Reestablecer clave</t>
  </si>
  <si>
    <t>Tareas</t>
  </si>
  <si>
    <t>Tiempo</t>
  </si>
  <si>
    <t>Prioridad (moscow)</t>
  </si>
  <si>
    <t xml:space="preserve">Sprint </t>
  </si>
  <si>
    <t>Registros.</t>
  </si>
  <si>
    <t xml:space="preserve">Creacion de BD…. 6 dias // cracion de interfaz 6 dias // </t>
  </si>
  <si>
    <t>12 dias</t>
  </si>
  <si>
    <t>1-Must (debe tener)</t>
  </si>
  <si>
    <t>Se realizan los registros de  los trabajadores</t>
  </si>
  <si>
    <t xml:space="preserve">Sprint (1) de 3 semanas </t>
  </si>
  <si>
    <t>1 día</t>
  </si>
  <si>
    <t>2-Should (debe incluir)</t>
  </si>
  <si>
    <t>Sprint (3) de 1 semana</t>
  </si>
  <si>
    <t>2 días</t>
  </si>
  <si>
    <t>Solo el jefe de rrhh puede ocupar la lista de personal avanzada</t>
  </si>
  <si>
    <t>3-Could</t>
  </si>
  <si>
    <t>2-Should</t>
  </si>
  <si>
    <t>1-Must(part 1)</t>
  </si>
  <si>
    <t>1-Must(part 2)</t>
  </si>
  <si>
    <t>personal de RRhh ingresa a la plataforma+registro de trabajador al sistema (1 dia)</t>
  </si>
  <si>
    <t>Sprint (2) de 1 semana</t>
  </si>
  <si>
    <t>personal de RRhh ingresa a la plataforma+registro de trabajador al sistema en area especifica (1 dia)</t>
  </si>
  <si>
    <t xml:space="preserve"> </t>
  </si>
  <si>
    <t>2 dias</t>
  </si>
  <si>
    <t>3-Could (podria incluir)</t>
  </si>
  <si>
    <t>Sprint (4) de 1 semana</t>
  </si>
  <si>
    <t xml:space="preserve">Sprint (1) de 4 semanas </t>
  </si>
  <si>
    <t>SPRINT</t>
  </si>
  <si>
    <t>N° TAREA</t>
  </si>
  <si>
    <t xml:space="preserve">ACCION </t>
  </si>
  <si>
    <t>FECHA INICIO</t>
  </si>
  <si>
    <t xml:space="preserve">FECHA FIN </t>
  </si>
  <si>
    <t>DURACION EN DIAS (T)</t>
  </si>
  <si>
    <t>RESPONSABLE</t>
  </si>
  <si>
    <t>COMENTARIO</t>
  </si>
  <si>
    <t>Creación de BD</t>
  </si>
  <si>
    <t>Vicente</t>
  </si>
  <si>
    <t>Creación de campos y tablas de la BD</t>
  </si>
  <si>
    <t>Aplicación de permisos en la BD</t>
  </si>
  <si>
    <t>Insertar datos en la BD</t>
  </si>
  <si>
    <t>Negid</t>
  </si>
  <si>
    <t xml:space="preserve">Vicente </t>
  </si>
  <si>
    <t>Creación de clases en el script</t>
  </si>
  <si>
    <t>Vicente / Negid</t>
  </si>
  <si>
    <t>Desarrollo de la interfaz</t>
  </si>
  <si>
    <t>Testing</t>
  </si>
  <si>
    <t xml:space="preserve">Laura </t>
  </si>
  <si>
    <t>Total Dias</t>
  </si>
  <si>
    <t>Registro de trabajadores al sistema</t>
  </si>
  <si>
    <t>Finalidad de registrar el ingreso de un trabajador.</t>
  </si>
  <si>
    <t>Registro de cargos</t>
  </si>
  <si>
    <t>Registro de area</t>
  </si>
  <si>
    <t>Actualizacion de datos laborales</t>
  </si>
  <si>
    <t>Actualizacion de datos personales</t>
  </si>
  <si>
    <t>Actualizacion de contactos de emergencia</t>
  </si>
  <si>
    <t xml:space="preserve">Actualizacion de cargas familiares </t>
  </si>
  <si>
    <t>Eliminacion de datos, en contacto de emergencia</t>
  </si>
  <si>
    <t xml:space="preserve">Eliminacion de datos, en cargas familiares </t>
  </si>
  <si>
    <t>Listar trabajadores</t>
  </si>
  <si>
    <t>Listar trabajadores por sexo</t>
  </si>
  <si>
    <t>Listar trabajadores por cargo</t>
  </si>
  <si>
    <t>Listar trabajadores por rut</t>
  </si>
  <si>
    <t>Listar trabajadores por nombre</t>
  </si>
  <si>
    <t>Listar trabajadores por area</t>
  </si>
  <si>
    <t xml:space="preserve">Cambio del estado de actividad del empleado en la empresa </t>
  </si>
  <si>
    <t xml:space="preserve">Visualizar registros personales </t>
  </si>
  <si>
    <t xml:space="preserve">Visualizar registros laborares </t>
  </si>
  <si>
    <t>Visualizar registros de  contacto de emergencia</t>
  </si>
  <si>
    <t xml:space="preserve">T3 Y T4 SE REALIZAN SIMULTANEAMENTE </t>
  </si>
  <si>
    <t xml:space="preserve">Visualizar registros de cargas familiares  </t>
  </si>
  <si>
    <t xml:space="preserve">Cambio de contraseña </t>
  </si>
  <si>
    <t>Restablecimiento de contraseña</t>
  </si>
  <si>
    <t>Conexión BD</t>
  </si>
  <si>
    <t xml:space="preserve">T1, T2, T3 Y T4 SE REALIZAN SIMULTANEAMENTE </t>
  </si>
  <si>
    <t>Creación de script en Python</t>
  </si>
  <si>
    <t>T7 Y T8 SE REALIZAN SIMULTANEAMENTE</t>
  </si>
  <si>
    <t xml:space="preserve">T11 Y T12 SE REALIZAN SIMULTANEAMENTE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</si>
</sst>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9" borderId="13" xfId="0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3" fillId="10" borderId="5" xfId="0" applyFont="1" applyFill="1" applyBorder="1"/>
    <xf numFmtId="0" fontId="3" fillId="10" borderId="16" xfId="0" applyFont="1" applyFill="1" applyBorder="1"/>
    <xf numFmtId="0" fontId="3" fillId="10" borderId="8" xfId="0" applyFont="1" applyFill="1" applyBorder="1"/>
    <xf numFmtId="0" fontId="3" fillId="10" borderId="16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3</xdr:row>
      <xdr:rowOff>63499</xdr:rowOff>
    </xdr:from>
    <xdr:to>
      <xdr:col>11</xdr:col>
      <xdr:colOff>609600</xdr:colOff>
      <xdr:row>19</xdr:row>
      <xdr:rowOff>150812</xdr:rowOff>
    </xdr:to>
    <xdr:sp macro="" textlink="">
      <xdr:nvSpPr>
        <xdr:cNvPr id="33" name="CuadroTexto 1">
          <a:extLst>
            <a:ext uri="{FF2B5EF4-FFF2-40B4-BE49-F238E27FC236}">
              <a16:creationId xmlns:a16="http://schemas.microsoft.com/office/drawing/2014/main" id="{1C5E410B-7C6A-3846-C9D9-96C11ED53A03}"/>
            </a:ext>
          </a:extLst>
        </xdr:cNvPr>
        <xdr:cNvSpPr txBox="1"/>
      </xdr:nvSpPr>
      <xdr:spPr>
        <a:xfrm>
          <a:off x="13801725" y="627062"/>
          <a:ext cx="1412875" cy="3008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rgbClr val="FF0000"/>
              </a:solidFill>
            </a:rPr>
            <a:t>SPRINT 1</a:t>
          </a:r>
        </a:p>
        <a:p>
          <a:pPr algn="l"/>
          <a:r>
            <a:rPr lang="es-CL" sz="1100"/>
            <a:t>Contendra</a:t>
          </a:r>
          <a:r>
            <a:rPr lang="es-CL" sz="1100" baseline="0"/>
            <a:t> 10 tareas donde se desarrollara la BD y la interfaz Y </a:t>
          </a:r>
          <a:r>
            <a:rPr lang="es-C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familiarizaran los roles del cliente, con la inferfaz </a:t>
          </a:r>
          <a:r>
            <a:rPr lang="es-CL" sz="1100" baseline="0"/>
            <a:t>Se contempla un sprint de 4 semanas, compuesto por 17 dias. </a:t>
          </a:r>
        </a:p>
        <a:p>
          <a:pPr algn="l"/>
          <a:endParaRPr lang="es-CL" sz="1100" baseline="0"/>
        </a:p>
        <a:p>
          <a:pPr algn="l"/>
          <a:r>
            <a:rPr lang="es-CL" sz="1100" baseline="0"/>
            <a:t>Se espera entregar las primeras funciones del aplicativo</a:t>
          </a:r>
          <a:endParaRPr lang="es-CL" sz="1100"/>
        </a:p>
      </xdr:txBody>
    </xdr:sp>
    <xdr:clientData/>
  </xdr:twoCellAnchor>
  <xdr:twoCellAnchor>
    <xdr:from>
      <xdr:col>9</xdr:col>
      <xdr:colOff>457200</xdr:colOff>
      <xdr:row>24</xdr:row>
      <xdr:rowOff>28574</xdr:rowOff>
    </xdr:from>
    <xdr:to>
      <xdr:col>12</xdr:col>
      <xdr:colOff>28575</xdr:colOff>
      <xdr:row>32</xdr:row>
      <xdr:rowOff>142875</xdr:rowOff>
    </xdr:to>
    <xdr:sp macro="" textlink="">
      <xdr:nvSpPr>
        <xdr:cNvPr id="35" name="CuadroTexto 3">
          <a:extLst>
            <a:ext uri="{FF2B5EF4-FFF2-40B4-BE49-F238E27FC236}">
              <a16:creationId xmlns:a16="http://schemas.microsoft.com/office/drawing/2014/main" id="{26156FB6-D41A-4CA3-A79F-8AF12530868A}"/>
            </a:ext>
          </a:extLst>
        </xdr:cNvPr>
        <xdr:cNvSpPr txBox="1"/>
      </xdr:nvSpPr>
      <xdr:spPr>
        <a:xfrm>
          <a:off x="14535150" y="5695949"/>
          <a:ext cx="1857375" cy="1562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rgbClr val="FF0000"/>
              </a:solidFill>
            </a:rPr>
            <a:t>SPRINT 2</a:t>
          </a:r>
        </a:p>
        <a:p>
          <a:pPr algn="l"/>
          <a:r>
            <a:rPr lang="es-CL" sz="1100"/>
            <a:t>Contendra</a:t>
          </a:r>
          <a:r>
            <a:rPr lang="es-CL" sz="1100" baseline="0"/>
            <a:t> 7 tareas donde el cliente podra comenzar a ocupar la plataforma, aplicando los listados solicitados. Se contempla un sprint de 2 semanas, compuesto por 9 dias</a:t>
          </a:r>
          <a:endParaRPr lang="es-CL" sz="1100"/>
        </a:p>
      </xdr:txBody>
    </xdr:sp>
    <xdr:clientData/>
  </xdr:twoCellAnchor>
  <xdr:twoCellAnchor>
    <xdr:from>
      <xdr:col>9</xdr:col>
      <xdr:colOff>457200</xdr:colOff>
      <xdr:row>35</xdr:row>
      <xdr:rowOff>126999</xdr:rowOff>
    </xdr:from>
    <xdr:to>
      <xdr:col>12</xdr:col>
      <xdr:colOff>25400</xdr:colOff>
      <xdr:row>44</xdr:row>
      <xdr:rowOff>120650</xdr:rowOff>
    </xdr:to>
    <xdr:sp macro="" textlink="">
      <xdr:nvSpPr>
        <xdr:cNvPr id="36" name="CuadroTexto 7">
          <a:extLst>
            <a:ext uri="{FF2B5EF4-FFF2-40B4-BE49-F238E27FC236}">
              <a16:creationId xmlns:a16="http://schemas.microsoft.com/office/drawing/2014/main" id="{C2DF5EF8-E736-4A6E-990B-E26EC3F2C120}"/>
            </a:ext>
          </a:extLst>
        </xdr:cNvPr>
        <xdr:cNvSpPr txBox="1"/>
      </xdr:nvSpPr>
      <xdr:spPr>
        <a:xfrm>
          <a:off x="14535150" y="7785099"/>
          <a:ext cx="1854200" cy="164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rgbClr val="FF0000"/>
              </a:solidFill>
            </a:rPr>
            <a:t>SPRINT 3</a:t>
          </a:r>
        </a:p>
        <a:p>
          <a:pPr algn="l"/>
          <a:r>
            <a:rPr lang="es-CL" sz="1100"/>
            <a:t>Contendra</a:t>
          </a:r>
          <a:r>
            <a:rPr lang="es-CL" sz="1100" baseline="0"/>
            <a:t> 6 tareas donde el cliente podra  visualizar los registros, junto a cambios y restablecimiento de contraseñas. Se contempla un sprint de 2 semanas, compuesto por 7 dias</a:t>
          </a:r>
          <a:endParaRPr lang="es-C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egid Inati Matheus" id="{A93DE35F-1C5E-4A29-8010-2EBAF17B316C}" userId="Negid Inati Matheus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2-05-05T04:42:39.77" personId="{A93DE35F-1C5E-4A29-8010-2EBAF17B316C}" id="{D935C162-DD8E-4C5C-B6B9-2515637B592C}">
    <text>Se contempla la creacion de softwares</text>
  </threadedComment>
  <threadedComment ref="K5" dT="2022-05-05T04:46:56.46" personId="{A93DE35F-1C5E-4A29-8010-2EBAF17B316C}" id="{6B7BD327-1B64-494E-988F-3BE773155B66}">
    <text>En consiguiente, se podra realizar los listados solicitados por el cliente junto a cambios de estado(inactividad del empleado)</text>
  </threadedComment>
  <threadedComment ref="K7" dT="2022-05-05T04:45:01.83" personId="{A93DE35F-1C5E-4A29-8010-2EBAF17B316C}" id="{5C770E13-7D6D-4DB8-AAF9-C223675FB5D9}">
    <text>En este sprint, se ejecutaran los softwares.... En ellos se podran agregar a los trabajadores, cargos o area..... Actualizaciones(laborales/personales)</text>
  </threadedComment>
  <threadedComment ref="K15" dT="2022-05-05T04:48:11.89" personId="{A93DE35F-1C5E-4A29-8010-2EBAF17B316C}" id="{31A02DA5-502B-4CF5-BBAB-8547C011791A}">
    <text>en este sprint, se desarrollan tareas mas aplicables al cliente. En ella, Se prueban funciones mas detalladas.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2-05-05T04:42:39.77" personId="{A93DE35F-1C5E-4A29-8010-2EBAF17B316C}" id="{C6013460-DFBC-4711-88BE-427E4D332D5A}">
    <text>Se contempla la creacion de softwares</text>
  </threadedComment>
  <threadedComment ref="K5" dT="2022-05-05T04:46:56.46" personId="{A93DE35F-1C5E-4A29-8010-2EBAF17B316C}" id="{9AFB9DF7-CA8F-4432-AD63-6E4D0B56D40E}">
    <text>En consiguiente, se podra realizar los listados solicitados por el cliente junto a cambios de estado(inactividad del empleado)</text>
  </threadedComment>
  <threadedComment ref="K7" dT="2022-05-05T04:45:01.83" personId="{A93DE35F-1C5E-4A29-8010-2EBAF17B316C}" id="{63E8C9C2-7EF0-4672-B38F-F56FBCC7768F}">
    <text>En este sprint, se ejecutaran los softwares.... En ellos se podran agregar a los trabajadores, cargos o area..... Actualizaciones(laborales/personales)</text>
  </threadedComment>
  <threadedComment ref="K15" dT="2022-05-05T04:48:11.89" personId="{A93DE35F-1C5E-4A29-8010-2EBAF17B316C}" id="{9E27BA8D-3812-4FE3-B84F-AAD754F1E470}">
    <text>en este sprint, se desarrollan tareas mas aplicables al cliente. En ella, Se prueban funciones mas detalladas.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opLeftCell="B10" zoomScale="90" zoomScaleNormal="90" zoomScaleSheetLayoutView="100" workbookViewId="0">
      <selection activeCell="L15" sqref="L15"/>
    </sheetView>
  </sheetViews>
  <sheetFormatPr baseColWidth="10" defaultColWidth="11.453125" defaultRowHeight="14.5" x14ac:dyDescent="0.35"/>
  <cols>
    <col min="1" max="1" width="1.453125" style="7" customWidth="1"/>
    <col min="2" max="2" width="16.453125" style="7" customWidth="1"/>
    <col min="3" max="3" width="33.1796875" style="7" customWidth="1"/>
    <col min="4" max="4" width="21.7265625" style="7" customWidth="1"/>
    <col min="5" max="5" width="12" style="7" customWidth="1"/>
    <col min="6" max="6" width="11.81640625" style="7" bestFit="1" customWidth="1"/>
    <col min="7" max="8" width="8.81640625" style="7" customWidth="1"/>
    <col min="9" max="9" width="12.453125" style="7" customWidth="1"/>
    <col min="10" max="10" width="2.1796875" style="7" customWidth="1"/>
    <col min="11" max="16384" width="11.453125" style="7"/>
  </cols>
  <sheetData>
    <row r="1" spans="2:9" ht="36" x14ac:dyDescent="0.8">
      <c r="B1" s="58" t="s">
        <v>0</v>
      </c>
      <c r="C1" s="58"/>
      <c r="D1" s="58"/>
      <c r="E1" s="58"/>
      <c r="F1" s="58"/>
      <c r="G1" s="58"/>
      <c r="H1" s="58"/>
      <c r="I1" s="58"/>
    </row>
    <row r="2" spans="2:9" ht="6.75" customHeight="1" x14ac:dyDescent="0.35"/>
    <row r="3" spans="2:9" ht="29" x14ac:dyDescent="0.35"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2:9" ht="58" x14ac:dyDescent="0.35">
      <c r="B4" s="1" t="s">
        <v>9</v>
      </c>
      <c r="C4" s="4" t="s">
        <v>10</v>
      </c>
      <c r="D4" s="1" t="s">
        <v>11</v>
      </c>
      <c r="E4" s="1" t="s">
        <v>12</v>
      </c>
      <c r="F4" s="1" t="s">
        <v>13</v>
      </c>
      <c r="G4" s="1">
        <v>1</v>
      </c>
      <c r="H4" s="1">
        <v>1</v>
      </c>
      <c r="I4" s="1" t="s">
        <v>14</v>
      </c>
    </row>
    <row r="5" spans="2:9" ht="58" x14ac:dyDescent="0.35">
      <c r="B5" s="3" t="s">
        <v>15</v>
      </c>
      <c r="C5" s="5" t="s">
        <v>16</v>
      </c>
      <c r="D5" s="3" t="s">
        <v>17</v>
      </c>
      <c r="E5" s="13" t="s">
        <v>18</v>
      </c>
      <c r="F5" s="9" t="s">
        <v>19</v>
      </c>
      <c r="G5" s="13">
        <v>3</v>
      </c>
      <c r="H5" s="10">
        <v>2</v>
      </c>
      <c r="I5" s="3" t="s">
        <v>20</v>
      </c>
    </row>
    <row r="6" spans="2:9" ht="72.5" x14ac:dyDescent="0.35">
      <c r="B6" s="3" t="s">
        <v>21</v>
      </c>
      <c r="C6" s="6" t="s">
        <v>22</v>
      </c>
      <c r="D6" s="2" t="s">
        <v>23</v>
      </c>
      <c r="E6" s="1" t="s">
        <v>18</v>
      </c>
      <c r="F6" s="8" t="s">
        <v>19</v>
      </c>
      <c r="G6" s="1">
        <v>3</v>
      </c>
      <c r="H6" s="11">
        <v>2</v>
      </c>
      <c r="I6" s="2" t="s">
        <v>20</v>
      </c>
    </row>
    <row r="7" spans="2:9" ht="58" x14ac:dyDescent="0.35">
      <c r="B7" s="3" t="s">
        <v>24</v>
      </c>
      <c r="C7" s="6" t="s">
        <v>25</v>
      </c>
      <c r="D7" s="2" t="s">
        <v>26</v>
      </c>
      <c r="E7" s="1" t="s">
        <v>12</v>
      </c>
      <c r="F7" s="8" t="s">
        <v>27</v>
      </c>
      <c r="G7" s="1">
        <v>1</v>
      </c>
      <c r="H7" s="11">
        <v>1</v>
      </c>
      <c r="I7" s="2" t="s">
        <v>14</v>
      </c>
    </row>
    <row r="8" spans="2:9" ht="72.5" x14ac:dyDescent="0.35">
      <c r="B8" s="3" t="s">
        <v>28</v>
      </c>
      <c r="C8" s="6" t="s">
        <v>29</v>
      </c>
      <c r="D8" s="2" t="s">
        <v>30</v>
      </c>
      <c r="E8" s="1" t="s">
        <v>12</v>
      </c>
      <c r="F8" s="8" t="s">
        <v>27</v>
      </c>
      <c r="G8" s="1">
        <v>1</v>
      </c>
      <c r="H8" s="11">
        <v>1</v>
      </c>
      <c r="I8" s="2" t="s">
        <v>14</v>
      </c>
    </row>
    <row r="9" spans="2:9" ht="72.5" x14ac:dyDescent="0.35">
      <c r="B9" s="3" t="s">
        <v>31</v>
      </c>
      <c r="C9" s="6" t="s">
        <v>32</v>
      </c>
      <c r="D9" s="2" t="s">
        <v>33</v>
      </c>
      <c r="E9" s="1" t="s">
        <v>18</v>
      </c>
      <c r="F9" s="8" t="s">
        <v>27</v>
      </c>
      <c r="G9" s="1">
        <v>2</v>
      </c>
      <c r="H9" s="11">
        <v>2</v>
      </c>
      <c r="I9" s="2" t="s">
        <v>20</v>
      </c>
    </row>
    <row r="10" spans="2:9" ht="87" x14ac:dyDescent="0.35">
      <c r="B10" s="3" t="s">
        <v>34</v>
      </c>
      <c r="C10" s="6" t="s">
        <v>35</v>
      </c>
      <c r="D10" s="2" t="s">
        <v>36</v>
      </c>
      <c r="E10" s="1" t="s">
        <v>18</v>
      </c>
      <c r="F10" s="8" t="s">
        <v>37</v>
      </c>
      <c r="G10" s="1">
        <v>1</v>
      </c>
      <c r="H10" s="11">
        <v>1</v>
      </c>
      <c r="I10" s="2" t="s">
        <v>14</v>
      </c>
    </row>
    <row r="11" spans="2:9" ht="101.5" x14ac:dyDescent="0.35">
      <c r="B11" s="3" t="s">
        <v>38</v>
      </c>
      <c r="C11" s="6" t="s">
        <v>39</v>
      </c>
      <c r="D11" s="2" t="s">
        <v>40</v>
      </c>
      <c r="E11" s="1" t="s">
        <v>18</v>
      </c>
      <c r="F11" s="8" t="s">
        <v>37</v>
      </c>
      <c r="G11" s="1">
        <v>2</v>
      </c>
      <c r="H11" s="11">
        <v>1</v>
      </c>
      <c r="I11" s="2" t="s">
        <v>14</v>
      </c>
    </row>
    <row r="12" spans="2:9" ht="116" x14ac:dyDescent="0.35">
      <c r="B12" s="3" t="s">
        <v>41</v>
      </c>
      <c r="C12" s="6" t="s">
        <v>42</v>
      </c>
      <c r="D12" s="2" t="s">
        <v>43</v>
      </c>
      <c r="E12" s="1" t="s">
        <v>18</v>
      </c>
      <c r="F12" s="8" t="s">
        <v>37</v>
      </c>
      <c r="G12" s="1">
        <v>2</v>
      </c>
      <c r="H12" s="11">
        <v>1</v>
      </c>
      <c r="I12" s="2" t="s">
        <v>14</v>
      </c>
    </row>
    <row r="13" spans="2:9" ht="72.5" x14ac:dyDescent="0.35">
      <c r="B13" s="3" t="s">
        <v>44</v>
      </c>
      <c r="C13" s="6" t="s">
        <v>45</v>
      </c>
      <c r="D13" s="2" t="s">
        <v>46</v>
      </c>
      <c r="E13" s="1" t="s">
        <v>18</v>
      </c>
      <c r="F13" s="8" t="s">
        <v>19</v>
      </c>
      <c r="G13" s="1">
        <v>3</v>
      </c>
      <c r="H13" s="11">
        <v>3</v>
      </c>
      <c r="I13" s="2" t="s">
        <v>47</v>
      </c>
    </row>
    <row r="14" spans="2:9" ht="58" x14ac:dyDescent="0.35">
      <c r="B14" s="3" t="s">
        <v>48</v>
      </c>
      <c r="C14" s="6" t="s">
        <v>49</v>
      </c>
      <c r="D14" s="2" t="s">
        <v>50</v>
      </c>
      <c r="E14" s="1" t="s">
        <v>18</v>
      </c>
      <c r="F14" s="8" t="s">
        <v>27</v>
      </c>
      <c r="G14" s="1">
        <v>3</v>
      </c>
      <c r="H14" s="11">
        <v>3</v>
      </c>
      <c r="I14" s="2" t="s">
        <v>47</v>
      </c>
    </row>
    <row r="15" spans="2:9" ht="72.5" x14ac:dyDescent="0.35">
      <c r="B15" s="3" t="s">
        <v>51</v>
      </c>
      <c r="C15" s="6" t="s">
        <v>52</v>
      </c>
      <c r="D15" s="2" t="s">
        <v>53</v>
      </c>
      <c r="E15" s="1" t="s">
        <v>18</v>
      </c>
      <c r="F15" s="8" t="s">
        <v>27</v>
      </c>
      <c r="G15" s="1">
        <v>3</v>
      </c>
      <c r="H15" s="11">
        <v>3</v>
      </c>
      <c r="I15" s="2" t="s">
        <v>47</v>
      </c>
    </row>
  </sheetData>
  <mergeCells count="1">
    <mergeCell ref="B1:I1"/>
  </mergeCells>
  <pageMargins left="0.23622047244094491" right="0.23622047244094491" top="0.74803149606299213" bottom="0.74803149606299213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FAE6-66CD-4EFC-885E-1C706321D21F}">
  <dimension ref="B1:P15"/>
  <sheetViews>
    <sheetView topLeftCell="A7" zoomScale="80" zoomScaleNormal="80" zoomScaleSheetLayoutView="100" workbookViewId="0">
      <selection activeCell="G4" sqref="G4"/>
    </sheetView>
  </sheetViews>
  <sheetFormatPr baseColWidth="10" defaultColWidth="11.453125" defaultRowHeight="14.5" x14ac:dyDescent="0.35"/>
  <cols>
    <col min="1" max="1" width="1.453125" style="7" customWidth="1"/>
    <col min="2" max="2" width="16.453125" style="7" customWidth="1"/>
    <col min="3" max="3" width="33.1796875" style="7" customWidth="1"/>
    <col min="4" max="5" width="21.7265625" style="7" customWidth="1"/>
    <col min="6" max="6" width="12" style="7" customWidth="1"/>
    <col min="7" max="7" width="11.81640625" style="7" bestFit="1" customWidth="1"/>
    <col min="8" max="8" width="8.81640625" style="7" customWidth="1"/>
    <col min="9" max="9" width="10.1796875" style="7" customWidth="1"/>
    <col min="10" max="10" width="22.453125" style="7" customWidth="1"/>
    <col min="11" max="11" width="11.453125" style="7" customWidth="1"/>
    <col min="12" max="12" width="11.453125" style="7"/>
    <col min="13" max="13" width="7.54296875" style="7" customWidth="1"/>
    <col min="14" max="14" width="8.453125" style="7" customWidth="1"/>
    <col min="15" max="15" width="7.1796875" style="7" customWidth="1"/>
    <col min="16" max="16" width="7" style="7" customWidth="1"/>
    <col min="17" max="16384" width="11.453125" style="7"/>
  </cols>
  <sheetData>
    <row r="1" spans="2:16" ht="36" x14ac:dyDescent="0.8">
      <c r="B1" s="58" t="s">
        <v>0</v>
      </c>
      <c r="C1" s="58"/>
      <c r="D1" s="58"/>
      <c r="E1" s="58"/>
      <c r="F1" s="58"/>
      <c r="G1" s="58"/>
      <c r="H1" s="58"/>
      <c r="I1" s="58"/>
      <c r="J1" s="58"/>
    </row>
    <row r="2" spans="2:16" ht="6.75" customHeight="1" x14ac:dyDescent="0.35"/>
    <row r="3" spans="2:16" ht="29" x14ac:dyDescent="0.35">
      <c r="B3" s="12" t="s">
        <v>1</v>
      </c>
      <c r="C3" s="12" t="s">
        <v>2</v>
      </c>
      <c r="D3" s="12" t="s">
        <v>3</v>
      </c>
      <c r="E3" s="12" t="s">
        <v>54</v>
      </c>
      <c r="F3" s="12" t="s">
        <v>4</v>
      </c>
      <c r="G3" s="12" t="s">
        <v>55</v>
      </c>
      <c r="H3" s="12" t="s">
        <v>6</v>
      </c>
      <c r="I3" s="12" t="s">
        <v>56</v>
      </c>
      <c r="J3" s="12" t="s">
        <v>8</v>
      </c>
      <c r="K3" s="12" t="s">
        <v>57</v>
      </c>
    </row>
    <row r="4" spans="2:16" ht="66.75" customHeight="1" x14ac:dyDescent="0.35">
      <c r="B4" s="14" t="s">
        <v>9</v>
      </c>
      <c r="C4" s="15" t="s">
        <v>10</v>
      </c>
      <c r="D4" s="14" t="s">
        <v>58</v>
      </c>
      <c r="E4" s="16" t="s">
        <v>59</v>
      </c>
      <c r="F4" s="14" t="s">
        <v>12</v>
      </c>
      <c r="G4" s="14" t="s">
        <v>60</v>
      </c>
      <c r="H4" s="14">
        <v>1</v>
      </c>
      <c r="I4" s="14" t="s">
        <v>61</v>
      </c>
      <c r="J4" s="1" t="s">
        <v>62</v>
      </c>
      <c r="K4" s="1" t="s">
        <v>63</v>
      </c>
    </row>
    <row r="5" spans="2:16" ht="63.75" customHeight="1" x14ac:dyDescent="0.35">
      <c r="B5" s="17" t="s">
        <v>15</v>
      </c>
      <c r="C5" s="18" t="s">
        <v>16</v>
      </c>
      <c r="D5" s="19" t="s">
        <v>17</v>
      </c>
      <c r="E5" s="20"/>
      <c r="F5" s="21" t="s">
        <v>18</v>
      </c>
      <c r="G5" s="19" t="s">
        <v>64</v>
      </c>
      <c r="H5" s="22">
        <v>3</v>
      </c>
      <c r="I5" s="23" t="s">
        <v>65</v>
      </c>
      <c r="J5" s="3"/>
      <c r="K5" s="1" t="s">
        <v>66</v>
      </c>
    </row>
    <row r="6" spans="2:16" ht="89.25" customHeight="1" x14ac:dyDescent="0.35">
      <c r="B6" s="17" t="s">
        <v>21</v>
      </c>
      <c r="C6" s="24" t="s">
        <v>22</v>
      </c>
      <c r="D6" s="25" t="s">
        <v>23</v>
      </c>
      <c r="E6" s="20"/>
      <c r="F6" s="26" t="s">
        <v>18</v>
      </c>
      <c r="G6" s="25" t="s">
        <v>67</v>
      </c>
      <c r="H6" s="20">
        <v>3</v>
      </c>
      <c r="I6" s="23" t="s">
        <v>65</v>
      </c>
      <c r="J6" s="2" t="s">
        <v>68</v>
      </c>
      <c r="K6" s="2" t="s">
        <v>66</v>
      </c>
      <c r="M6" s="41" t="s">
        <v>69</v>
      </c>
      <c r="N6" s="38" t="s">
        <v>70</v>
      </c>
      <c r="O6" s="39" t="s">
        <v>71</v>
      </c>
      <c r="P6" s="40" t="s">
        <v>72</v>
      </c>
    </row>
    <row r="7" spans="2:16" ht="73.5" customHeight="1" x14ac:dyDescent="0.35">
      <c r="B7" s="34" t="s">
        <v>24</v>
      </c>
      <c r="C7" s="35" t="s">
        <v>25</v>
      </c>
      <c r="D7" s="36" t="s">
        <v>26</v>
      </c>
      <c r="E7" s="33" t="s">
        <v>73</v>
      </c>
      <c r="F7" s="37" t="s">
        <v>12</v>
      </c>
      <c r="G7" s="36" t="s">
        <v>64</v>
      </c>
      <c r="H7" s="42">
        <v>1</v>
      </c>
      <c r="I7" s="42" t="s">
        <v>61</v>
      </c>
      <c r="J7" s="2"/>
      <c r="K7" s="2" t="s">
        <v>74</v>
      </c>
    </row>
    <row r="8" spans="2:16" ht="85.5" customHeight="1" x14ac:dyDescent="0.35">
      <c r="B8" s="34" t="s">
        <v>28</v>
      </c>
      <c r="C8" s="35" t="s">
        <v>29</v>
      </c>
      <c r="D8" s="36" t="s">
        <v>30</v>
      </c>
      <c r="E8" s="33" t="s">
        <v>75</v>
      </c>
      <c r="F8" s="37" t="s">
        <v>12</v>
      </c>
      <c r="G8" s="36" t="s">
        <v>64</v>
      </c>
      <c r="H8" s="33">
        <v>1</v>
      </c>
      <c r="I8" s="42" t="s">
        <v>61</v>
      </c>
      <c r="J8" s="2"/>
      <c r="K8" s="2" t="s">
        <v>74</v>
      </c>
    </row>
    <row r="9" spans="2:16" ht="93.75" customHeight="1" x14ac:dyDescent="0.35">
      <c r="B9" s="17" t="s">
        <v>31</v>
      </c>
      <c r="C9" s="24" t="s">
        <v>32</v>
      </c>
      <c r="D9" s="25" t="s">
        <v>33</v>
      </c>
      <c r="E9" s="20"/>
      <c r="F9" s="26" t="s">
        <v>18</v>
      </c>
      <c r="G9" s="25" t="s">
        <v>67</v>
      </c>
      <c r="H9" s="20">
        <v>2</v>
      </c>
      <c r="I9" s="23" t="s">
        <v>65</v>
      </c>
      <c r="J9" s="2"/>
      <c r="K9" s="2" t="s">
        <v>66</v>
      </c>
    </row>
    <row r="10" spans="2:16" ht="101.25" customHeight="1" x14ac:dyDescent="0.35">
      <c r="B10" s="34" t="s">
        <v>34</v>
      </c>
      <c r="C10" s="35" t="s">
        <v>35</v>
      </c>
      <c r="D10" s="36" t="s">
        <v>36</v>
      </c>
      <c r="E10" s="33"/>
      <c r="F10" s="37" t="s">
        <v>18</v>
      </c>
      <c r="G10" s="36" t="s">
        <v>64</v>
      </c>
      <c r="H10" s="33">
        <v>1</v>
      </c>
      <c r="I10" s="42" t="s">
        <v>61</v>
      </c>
      <c r="J10" s="2"/>
      <c r="K10" s="2" t="s">
        <v>74</v>
      </c>
      <c r="N10" s="7" t="s">
        <v>76</v>
      </c>
    </row>
    <row r="11" spans="2:16" ht="108.75" customHeight="1" x14ac:dyDescent="0.35">
      <c r="B11" s="34" t="s">
        <v>38</v>
      </c>
      <c r="C11" s="35" t="s">
        <v>39</v>
      </c>
      <c r="D11" s="36" t="s">
        <v>40</v>
      </c>
      <c r="E11" s="33"/>
      <c r="F11" s="37" t="s">
        <v>18</v>
      </c>
      <c r="G11" s="36" t="s">
        <v>64</v>
      </c>
      <c r="H11" s="33">
        <v>2</v>
      </c>
      <c r="I11" s="42" t="s">
        <v>61</v>
      </c>
      <c r="J11" s="2"/>
      <c r="K11" s="2" t="s">
        <v>74</v>
      </c>
    </row>
    <row r="12" spans="2:16" ht="131.25" customHeight="1" x14ac:dyDescent="0.35">
      <c r="B12" s="34" t="s">
        <v>41</v>
      </c>
      <c r="C12" s="35" t="s">
        <v>42</v>
      </c>
      <c r="D12" s="36" t="s">
        <v>43</v>
      </c>
      <c r="E12" s="33"/>
      <c r="F12" s="37" t="s">
        <v>18</v>
      </c>
      <c r="G12" s="36" t="s">
        <v>64</v>
      </c>
      <c r="H12" s="33">
        <v>2</v>
      </c>
      <c r="I12" s="42" t="s">
        <v>61</v>
      </c>
      <c r="J12" s="2"/>
      <c r="K12" s="2" t="s">
        <v>74</v>
      </c>
    </row>
    <row r="13" spans="2:16" ht="85.5" customHeight="1" x14ac:dyDescent="0.35">
      <c r="B13" s="27" t="s">
        <v>44</v>
      </c>
      <c r="C13" s="28" t="s">
        <v>45</v>
      </c>
      <c r="D13" s="29" t="s">
        <v>46</v>
      </c>
      <c r="E13" s="30"/>
      <c r="F13" s="31" t="s">
        <v>18</v>
      </c>
      <c r="G13" s="29" t="s">
        <v>77</v>
      </c>
      <c r="H13" s="30">
        <v>3</v>
      </c>
      <c r="I13" s="32" t="s">
        <v>78</v>
      </c>
      <c r="J13" s="2"/>
      <c r="K13" s="2" t="s">
        <v>79</v>
      </c>
    </row>
    <row r="14" spans="2:16" ht="68.25" customHeight="1" x14ac:dyDescent="0.35">
      <c r="B14" s="27" t="s">
        <v>48</v>
      </c>
      <c r="C14" s="28" t="s">
        <v>49</v>
      </c>
      <c r="D14" s="29" t="s">
        <v>50</v>
      </c>
      <c r="E14" s="30"/>
      <c r="F14" s="31" t="s">
        <v>18</v>
      </c>
      <c r="G14" s="29" t="s">
        <v>77</v>
      </c>
      <c r="H14" s="30">
        <v>3</v>
      </c>
      <c r="I14" s="32" t="s">
        <v>78</v>
      </c>
      <c r="J14" s="2"/>
      <c r="K14" s="2" t="s">
        <v>79</v>
      </c>
    </row>
    <row r="15" spans="2:16" ht="82.5" customHeight="1" x14ac:dyDescent="0.35">
      <c r="B15" s="27" t="s">
        <v>51</v>
      </c>
      <c r="C15" s="28" t="s">
        <v>52</v>
      </c>
      <c r="D15" s="29" t="s">
        <v>53</v>
      </c>
      <c r="E15" s="30"/>
      <c r="F15" s="31" t="s">
        <v>18</v>
      </c>
      <c r="G15" s="29" t="s">
        <v>64</v>
      </c>
      <c r="H15" s="30">
        <v>3</v>
      </c>
      <c r="I15" s="32" t="s">
        <v>78</v>
      </c>
      <c r="J15" s="2"/>
      <c r="K15" s="2" t="s">
        <v>79</v>
      </c>
    </row>
  </sheetData>
  <mergeCells count="1">
    <mergeCell ref="B1:J1"/>
  </mergeCells>
  <pageMargins left="0.23622047244094491" right="0.23622047244094491" top="0.74803149606299213" bottom="0.74803149606299213" header="0.31496062992125984" footer="0.31496062992125984"/>
  <pageSetup scale="7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9843-75DB-4F71-B7ED-6AE31C220214}">
  <dimension ref="B1:P15"/>
  <sheetViews>
    <sheetView topLeftCell="A4" zoomScale="80" zoomScaleNormal="80" zoomScaleSheetLayoutView="100" workbookViewId="0">
      <selection activeCell="E7" sqref="E7"/>
    </sheetView>
  </sheetViews>
  <sheetFormatPr baseColWidth="10" defaultColWidth="11.453125" defaultRowHeight="14.5" x14ac:dyDescent="0.35"/>
  <cols>
    <col min="1" max="1" width="1.453125" style="7" customWidth="1"/>
    <col min="2" max="2" width="16.453125" style="7" customWidth="1"/>
    <col min="3" max="3" width="33.26953125" style="7" customWidth="1"/>
    <col min="4" max="5" width="21.81640625" style="7" customWidth="1"/>
    <col min="6" max="6" width="12" style="7" customWidth="1"/>
    <col min="7" max="7" width="11.81640625" style="7" bestFit="1" customWidth="1"/>
    <col min="8" max="8" width="8.81640625" style="7" customWidth="1"/>
    <col min="9" max="9" width="10.26953125" style="7" customWidth="1"/>
    <col min="10" max="10" width="12.54296875" style="7" customWidth="1"/>
    <col min="11" max="11" width="11.453125" style="7" customWidth="1"/>
    <col min="12" max="16384" width="11.453125" style="7"/>
  </cols>
  <sheetData>
    <row r="1" spans="2:16" ht="36" x14ac:dyDescent="0.8">
      <c r="B1" s="58" t="s">
        <v>0</v>
      </c>
      <c r="C1" s="58"/>
      <c r="D1" s="58"/>
      <c r="E1" s="58"/>
      <c r="F1" s="58"/>
      <c r="G1" s="58"/>
      <c r="H1" s="58"/>
      <c r="I1" s="58"/>
      <c r="J1" s="58"/>
    </row>
    <row r="2" spans="2:16" ht="4.5" customHeight="1" x14ac:dyDescent="0.35"/>
    <row r="3" spans="2:16" ht="29" x14ac:dyDescent="0.35">
      <c r="B3" s="12" t="s">
        <v>1</v>
      </c>
      <c r="C3" s="12" t="s">
        <v>2</v>
      </c>
      <c r="D3" s="12" t="s">
        <v>3</v>
      </c>
      <c r="E3" s="12" t="s">
        <v>54</v>
      </c>
      <c r="F3" s="12" t="s">
        <v>4</v>
      </c>
      <c r="G3" s="12" t="s">
        <v>55</v>
      </c>
      <c r="H3" s="12" t="s">
        <v>6</v>
      </c>
      <c r="I3" s="12" t="s">
        <v>56</v>
      </c>
      <c r="J3" s="12" t="s">
        <v>8</v>
      </c>
      <c r="K3" s="12" t="s">
        <v>57</v>
      </c>
    </row>
    <row r="4" spans="2:16" ht="77.5" customHeight="1" x14ac:dyDescent="0.35">
      <c r="B4" s="14" t="s">
        <v>9</v>
      </c>
      <c r="C4" s="15" t="s">
        <v>10</v>
      </c>
      <c r="D4" s="14" t="s">
        <v>58</v>
      </c>
      <c r="E4" s="16" t="s">
        <v>59</v>
      </c>
      <c r="F4" s="14" t="s">
        <v>12</v>
      </c>
      <c r="G4" s="14">
        <v>17</v>
      </c>
      <c r="H4" s="14">
        <v>1</v>
      </c>
      <c r="I4" s="14" t="s">
        <v>61</v>
      </c>
      <c r="J4" s="1"/>
      <c r="K4" s="1" t="s">
        <v>80</v>
      </c>
    </row>
    <row r="5" spans="2:16" ht="58" x14ac:dyDescent="0.35">
      <c r="B5" s="17" t="s">
        <v>15</v>
      </c>
      <c r="C5" s="18" t="s">
        <v>16</v>
      </c>
      <c r="D5" s="19" t="s">
        <v>17</v>
      </c>
      <c r="E5" s="20"/>
      <c r="F5" s="21" t="s">
        <v>18</v>
      </c>
      <c r="G5" s="19" t="s">
        <v>64</v>
      </c>
      <c r="H5" s="22">
        <v>3</v>
      </c>
      <c r="I5" s="23" t="s">
        <v>65</v>
      </c>
      <c r="J5" s="3"/>
      <c r="K5" s="1" t="s">
        <v>66</v>
      </c>
    </row>
    <row r="6" spans="2:16" ht="71.5" customHeight="1" x14ac:dyDescent="0.35">
      <c r="B6" s="17" t="s">
        <v>21</v>
      </c>
      <c r="C6" s="24" t="s">
        <v>22</v>
      </c>
      <c r="D6" s="25" t="s">
        <v>23</v>
      </c>
      <c r="E6" s="20"/>
      <c r="F6" s="26" t="s">
        <v>18</v>
      </c>
      <c r="G6" s="25" t="s">
        <v>67</v>
      </c>
      <c r="H6" s="20">
        <v>3</v>
      </c>
      <c r="I6" s="23" t="s">
        <v>65</v>
      </c>
      <c r="J6" s="2"/>
      <c r="K6" s="2" t="s">
        <v>66</v>
      </c>
      <c r="M6" s="41" t="s">
        <v>69</v>
      </c>
      <c r="N6" s="38" t="s">
        <v>70</v>
      </c>
      <c r="O6" s="39" t="s">
        <v>71</v>
      </c>
      <c r="P6" s="40" t="s">
        <v>72</v>
      </c>
    </row>
    <row r="7" spans="2:16" ht="72.5" x14ac:dyDescent="0.35">
      <c r="B7" s="34" t="s">
        <v>24</v>
      </c>
      <c r="C7" s="35" t="s">
        <v>25</v>
      </c>
      <c r="D7" s="36" t="s">
        <v>26</v>
      </c>
      <c r="E7" s="33" t="s">
        <v>73</v>
      </c>
      <c r="F7" s="37" t="s">
        <v>12</v>
      </c>
      <c r="G7" s="36" t="s">
        <v>64</v>
      </c>
      <c r="H7" s="33">
        <v>2</v>
      </c>
      <c r="I7" s="42" t="s">
        <v>61</v>
      </c>
      <c r="J7" s="2"/>
      <c r="K7" s="2" t="s">
        <v>74</v>
      </c>
    </row>
    <row r="8" spans="2:16" ht="72.5" x14ac:dyDescent="0.35">
      <c r="B8" s="34" t="s">
        <v>28</v>
      </c>
      <c r="C8" s="35" t="s">
        <v>29</v>
      </c>
      <c r="D8" s="36" t="s">
        <v>30</v>
      </c>
      <c r="E8" s="33" t="s">
        <v>75</v>
      </c>
      <c r="F8" s="37" t="s">
        <v>12</v>
      </c>
      <c r="G8" s="36" t="s">
        <v>64</v>
      </c>
      <c r="H8" s="33">
        <v>2</v>
      </c>
      <c r="I8" s="42" t="s">
        <v>61</v>
      </c>
      <c r="J8" s="2"/>
      <c r="K8" s="2" t="s">
        <v>74</v>
      </c>
    </row>
    <row r="9" spans="2:16" ht="72.5" x14ac:dyDescent="0.35">
      <c r="B9" s="17" t="s">
        <v>31</v>
      </c>
      <c r="C9" s="24" t="s">
        <v>32</v>
      </c>
      <c r="D9" s="25" t="s">
        <v>33</v>
      </c>
      <c r="E9" s="20"/>
      <c r="F9" s="26" t="s">
        <v>18</v>
      </c>
      <c r="G9" s="25" t="s">
        <v>67</v>
      </c>
      <c r="H9" s="20">
        <v>2</v>
      </c>
      <c r="I9" s="23" t="s">
        <v>65</v>
      </c>
      <c r="J9" s="2"/>
      <c r="K9" s="2" t="s">
        <v>66</v>
      </c>
    </row>
    <row r="10" spans="2:16" ht="87" x14ac:dyDescent="0.35">
      <c r="B10" s="34" t="s">
        <v>34</v>
      </c>
      <c r="C10" s="35" t="s">
        <v>35</v>
      </c>
      <c r="D10" s="36" t="s">
        <v>36</v>
      </c>
      <c r="E10" s="33"/>
      <c r="F10" s="37" t="s">
        <v>18</v>
      </c>
      <c r="G10" s="36" t="s">
        <v>77</v>
      </c>
      <c r="H10" s="33">
        <v>2</v>
      </c>
      <c r="I10" s="42" t="s">
        <v>61</v>
      </c>
      <c r="J10" s="2"/>
      <c r="K10" s="2" t="s">
        <v>74</v>
      </c>
      <c r="N10" s="7" t="s">
        <v>76</v>
      </c>
    </row>
    <row r="11" spans="2:16" ht="101.5" x14ac:dyDescent="0.35">
      <c r="B11" s="34" t="s">
        <v>38</v>
      </c>
      <c r="C11" s="35" t="s">
        <v>39</v>
      </c>
      <c r="D11" s="36" t="s">
        <v>40</v>
      </c>
      <c r="E11" s="33"/>
      <c r="F11" s="37" t="s">
        <v>18</v>
      </c>
      <c r="G11" s="36" t="s">
        <v>64</v>
      </c>
      <c r="H11" s="33">
        <v>2</v>
      </c>
      <c r="I11" s="42" t="s">
        <v>61</v>
      </c>
      <c r="J11" s="2"/>
      <c r="K11" s="2" t="s">
        <v>74</v>
      </c>
    </row>
    <row r="12" spans="2:16" ht="116" x14ac:dyDescent="0.35">
      <c r="B12" s="34" t="s">
        <v>41</v>
      </c>
      <c r="C12" s="35" t="s">
        <v>42</v>
      </c>
      <c r="D12" s="36" t="s">
        <v>43</v>
      </c>
      <c r="E12" s="33"/>
      <c r="F12" s="37" t="s">
        <v>18</v>
      </c>
      <c r="G12" s="36" t="s">
        <v>77</v>
      </c>
      <c r="H12" s="33">
        <v>2</v>
      </c>
      <c r="I12" s="42" t="s">
        <v>61</v>
      </c>
      <c r="J12" s="2"/>
      <c r="K12" s="2" t="s">
        <v>74</v>
      </c>
    </row>
    <row r="13" spans="2:16" ht="72.5" x14ac:dyDescent="0.35">
      <c r="B13" s="27" t="s">
        <v>44</v>
      </c>
      <c r="C13" s="28" t="s">
        <v>45</v>
      </c>
      <c r="D13" s="29" t="s">
        <v>46</v>
      </c>
      <c r="E13" s="30"/>
      <c r="F13" s="31" t="s">
        <v>18</v>
      </c>
      <c r="G13" s="29" t="s">
        <v>77</v>
      </c>
      <c r="H13" s="30">
        <v>3</v>
      </c>
      <c r="I13" s="32" t="s">
        <v>78</v>
      </c>
      <c r="J13" s="2"/>
      <c r="K13" s="2" t="s">
        <v>79</v>
      </c>
    </row>
    <row r="14" spans="2:16" ht="58" x14ac:dyDescent="0.35">
      <c r="B14" s="27" t="s">
        <v>48</v>
      </c>
      <c r="C14" s="28" t="s">
        <v>49</v>
      </c>
      <c r="D14" s="29" t="s">
        <v>50</v>
      </c>
      <c r="E14" s="30"/>
      <c r="F14" s="31" t="s">
        <v>18</v>
      </c>
      <c r="G14" s="29" t="s">
        <v>77</v>
      </c>
      <c r="H14" s="30">
        <v>3</v>
      </c>
      <c r="I14" s="32" t="s">
        <v>78</v>
      </c>
      <c r="J14" s="2"/>
      <c r="K14" s="2" t="s">
        <v>79</v>
      </c>
    </row>
    <row r="15" spans="2:16" ht="72.5" x14ac:dyDescent="0.35">
      <c r="B15" s="27" t="s">
        <v>51</v>
      </c>
      <c r="C15" s="28" t="s">
        <v>52</v>
      </c>
      <c r="D15" s="29" t="s">
        <v>53</v>
      </c>
      <c r="E15" s="30"/>
      <c r="F15" s="31" t="s">
        <v>18</v>
      </c>
      <c r="G15" s="29" t="s">
        <v>64</v>
      </c>
      <c r="H15" s="30">
        <v>3</v>
      </c>
      <c r="I15" s="32" t="s">
        <v>78</v>
      </c>
      <c r="J15" s="2"/>
      <c r="K15" s="2" t="s">
        <v>79</v>
      </c>
    </row>
  </sheetData>
  <mergeCells count="1">
    <mergeCell ref="B1:J1"/>
  </mergeCells>
  <pageMargins left="0.23622047244094491" right="0.23622047244094491" top="0.74803149606299213" bottom="0.74803149606299213" header="0.31496062992125984" footer="0.31496062992125984"/>
  <pageSetup scale="7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2FEB-0DEE-47F4-8E35-AFFEEC7E234E}">
  <dimension ref="A1:L45"/>
  <sheetViews>
    <sheetView showGridLines="0" tabSelected="1" topLeftCell="A25" zoomScale="80" zoomScaleNormal="80" zoomScaleSheetLayoutView="100" workbookViewId="0">
      <selection activeCell="N15" sqref="N15"/>
    </sheetView>
  </sheetViews>
  <sheetFormatPr baseColWidth="10" defaultColWidth="8.7265625" defaultRowHeight="14.5" x14ac:dyDescent="0.35"/>
  <cols>
    <col min="4" max="4" width="51.453125" bestFit="1" customWidth="1"/>
    <col min="5" max="5" width="13.453125" bestFit="1" customWidth="1"/>
    <col min="6" max="6" width="11" bestFit="1" customWidth="1"/>
    <col min="7" max="7" width="21.81640625" bestFit="1" customWidth="1"/>
    <col min="8" max="8" width="21.81640625" customWidth="1"/>
    <col min="9" max="9" width="45.81640625" bestFit="1" customWidth="1"/>
  </cols>
  <sheetData>
    <row r="1" spans="1:9" s="44" customFormat="1" ht="15.5" x14ac:dyDescent="0.35">
      <c r="A1" s="51"/>
      <c r="B1" s="46" t="s">
        <v>81</v>
      </c>
      <c r="C1" s="53" t="s">
        <v>82</v>
      </c>
      <c r="D1" s="52" t="s">
        <v>83</v>
      </c>
      <c r="E1" s="52" t="s">
        <v>84</v>
      </c>
      <c r="F1" s="52" t="s">
        <v>85</v>
      </c>
      <c r="G1" s="48" t="s">
        <v>86</v>
      </c>
      <c r="H1" s="48" t="s">
        <v>87</v>
      </c>
      <c r="I1" s="47" t="s">
        <v>88</v>
      </c>
    </row>
    <row r="2" spans="1:9" x14ac:dyDescent="0.35">
      <c r="A2" s="49"/>
      <c r="C2">
        <v>1</v>
      </c>
      <c r="D2" t="s">
        <v>89</v>
      </c>
      <c r="E2" s="45">
        <v>44690</v>
      </c>
      <c r="F2" s="45">
        <v>44690</v>
      </c>
      <c r="G2" s="62">
        <v>1</v>
      </c>
      <c r="H2" t="s">
        <v>90</v>
      </c>
      <c r="I2" s="50" t="s">
        <v>127</v>
      </c>
    </row>
    <row r="3" spans="1:9" x14ac:dyDescent="0.35">
      <c r="A3" s="49"/>
      <c r="C3">
        <v>2</v>
      </c>
      <c r="D3" t="s">
        <v>91</v>
      </c>
      <c r="E3" s="45">
        <v>44690</v>
      </c>
      <c r="F3" s="45">
        <v>44690</v>
      </c>
      <c r="G3" s="62"/>
      <c r="H3" t="s">
        <v>90</v>
      </c>
      <c r="I3" s="50" t="s">
        <v>127</v>
      </c>
    </row>
    <row r="4" spans="1:9" x14ac:dyDescent="0.35">
      <c r="A4" s="49"/>
      <c r="B4" s="44"/>
      <c r="C4">
        <v>3</v>
      </c>
      <c r="D4" t="s">
        <v>92</v>
      </c>
      <c r="E4" s="45">
        <v>44690</v>
      </c>
      <c r="F4" s="45">
        <v>44690</v>
      </c>
      <c r="G4" s="62"/>
      <c r="H4" t="s">
        <v>90</v>
      </c>
      <c r="I4" s="50" t="s">
        <v>127</v>
      </c>
    </row>
    <row r="5" spans="1:9" x14ac:dyDescent="0.35">
      <c r="A5" s="49"/>
      <c r="B5" s="43">
        <v>1</v>
      </c>
      <c r="C5">
        <v>5</v>
      </c>
      <c r="D5" t="s">
        <v>93</v>
      </c>
      <c r="E5" s="45">
        <v>44691</v>
      </c>
      <c r="F5" s="45">
        <v>44692</v>
      </c>
      <c r="G5" s="43">
        <v>2</v>
      </c>
      <c r="H5" t="s">
        <v>94</v>
      </c>
      <c r="I5" s="50"/>
    </row>
    <row r="6" spans="1:9" x14ac:dyDescent="0.35">
      <c r="A6" s="49"/>
      <c r="B6" s="43"/>
      <c r="C6">
        <v>6</v>
      </c>
      <c r="D6" t="s">
        <v>128</v>
      </c>
      <c r="E6" s="45">
        <v>44693</v>
      </c>
      <c r="F6" s="45">
        <v>44693</v>
      </c>
      <c r="G6" s="43">
        <v>1</v>
      </c>
      <c r="H6" t="s">
        <v>95</v>
      </c>
      <c r="I6" s="50"/>
    </row>
    <row r="7" spans="1:9" x14ac:dyDescent="0.35">
      <c r="A7" s="49"/>
      <c r="B7" s="43"/>
      <c r="C7">
        <v>7</v>
      </c>
      <c r="D7" t="s">
        <v>96</v>
      </c>
      <c r="E7" s="45">
        <v>44694</v>
      </c>
      <c r="F7" s="45">
        <v>44694</v>
      </c>
      <c r="G7" s="62">
        <v>1</v>
      </c>
      <c r="H7" t="s">
        <v>97</v>
      </c>
      <c r="I7" s="50" t="s">
        <v>129</v>
      </c>
    </row>
    <row r="8" spans="1:9" x14ac:dyDescent="0.35">
      <c r="A8" s="49"/>
      <c r="B8" s="43"/>
      <c r="C8">
        <v>8</v>
      </c>
      <c r="D8" t="s">
        <v>126</v>
      </c>
      <c r="E8" s="45">
        <v>44694</v>
      </c>
      <c r="F8" s="45">
        <v>44694</v>
      </c>
      <c r="G8" s="62"/>
      <c r="H8" t="s">
        <v>95</v>
      </c>
      <c r="I8" s="50" t="s">
        <v>129</v>
      </c>
    </row>
    <row r="9" spans="1:9" x14ac:dyDescent="0.35">
      <c r="A9" s="49"/>
      <c r="B9" s="43"/>
      <c r="C9">
        <v>9</v>
      </c>
      <c r="D9" t="s">
        <v>98</v>
      </c>
      <c r="E9" s="45">
        <v>44697</v>
      </c>
      <c r="F9" s="45">
        <v>44699</v>
      </c>
      <c r="G9" s="43">
        <v>3</v>
      </c>
      <c r="H9" t="s">
        <v>97</v>
      </c>
      <c r="I9" s="50"/>
    </row>
    <row r="10" spans="1:9" x14ac:dyDescent="0.35">
      <c r="A10" s="49"/>
      <c r="B10" s="43"/>
      <c r="C10">
        <f>C9+1</f>
        <v>10</v>
      </c>
      <c r="D10" t="s">
        <v>102</v>
      </c>
      <c r="E10" s="45">
        <v>44700</v>
      </c>
      <c r="F10" s="45">
        <v>44700</v>
      </c>
      <c r="G10" s="43">
        <v>1</v>
      </c>
      <c r="H10" t="s">
        <v>97</v>
      </c>
      <c r="I10" s="50" t="s">
        <v>103</v>
      </c>
    </row>
    <row r="11" spans="1:9" x14ac:dyDescent="0.35">
      <c r="A11" s="49"/>
      <c r="B11" s="43"/>
      <c r="C11">
        <f t="shared" ref="C11:C19" si="0">C10+1</f>
        <v>11</v>
      </c>
      <c r="D11" t="s">
        <v>104</v>
      </c>
      <c r="E11" s="45">
        <v>44701</v>
      </c>
      <c r="F11" s="45">
        <v>44701</v>
      </c>
      <c r="G11" s="62">
        <v>1</v>
      </c>
      <c r="H11" t="s">
        <v>95</v>
      </c>
      <c r="I11" s="50" t="s">
        <v>130</v>
      </c>
    </row>
    <row r="12" spans="1:9" x14ac:dyDescent="0.35">
      <c r="A12" s="49"/>
      <c r="B12" s="43"/>
      <c r="C12">
        <f t="shared" si="0"/>
        <v>12</v>
      </c>
      <c r="D12" t="s">
        <v>105</v>
      </c>
      <c r="E12" s="45">
        <v>44701</v>
      </c>
      <c r="F12" s="45">
        <v>44701</v>
      </c>
      <c r="G12" s="62"/>
      <c r="H12" t="s">
        <v>95</v>
      </c>
      <c r="I12" s="50" t="s">
        <v>130</v>
      </c>
    </row>
    <row r="13" spans="1:9" x14ac:dyDescent="0.35">
      <c r="A13" s="49"/>
      <c r="B13" s="43"/>
      <c r="C13">
        <f t="shared" si="0"/>
        <v>13</v>
      </c>
      <c r="D13" t="s">
        <v>106</v>
      </c>
      <c r="E13" s="45">
        <v>44704</v>
      </c>
      <c r="F13" s="45">
        <v>44704</v>
      </c>
      <c r="G13" s="43">
        <v>1</v>
      </c>
      <c r="H13" t="s">
        <v>100</v>
      </c>
      <c r="I13" s="50"/>
    </row>
    <row r="14" spans="1:9" x14ac:dyDescent="0.35">
      <c r="A14" s="49"/>
      <c r="B14" s="43"/>
      <c r="C14">
        <f t="shared" si="0"/>
        <v>14</v>
      </c>
      <c r="D14" t="s">
        <v>107</v>
      </c>
      <c r="E14" s="45">
        <v>44705</v>
      </c>
      <c r="F14" s="45">
        <v>44705</v>
      </c>
      <c r="G14" s="43">
        <v>1</v>
      </c>
      <c r="H14" t="s">
        <v>100</v>
      </c>
      <c r="I14" s="50"/>
    </row>
    <row r="15" spans="1:9" x14ac:dyDescent="0.35">
      <c r="A15" s="49"/>
      <c r="B15" s="43"/>
      <c r="C15">
        <f t="shared" si="0"/>
        <v>15</v>
      </c>
      <c r="D15" t="s">
        <v>108</v>
      </c>
      <c r="E15" s="45">
        <v>44706</v>
      </c>
      <c r="F15" s="45">
        <v>44706</v>
      </c>
      <c r="G15" s="43">
        <v>1</v>
      </c>
      <c r="H15" t="s">
        <v>100</v>
      </c>
      <c r="I15" s="50"/>
    </row>
    <row r="16" spans="1:9" x14ac:dyDescent="0.35">
      <c r="A16" s="49"/>
      <c r="B16" s="43"/>
      <c r="C16">
        <f t="shared" si="0"/>
        <v>16</v>
      </c>
      <c r="D16" t="s">
        <v>109</v>
      </c>
      <c r="E16" s="45">
        <v>44707</v>
      </c>
      <c r="F16" s="45">
        <v>44707</v>
      </c>
      <c r="G16" s="43">
        <v>1</v>
      </c>
      <c r="H16" t="s">
        <v>94</v>
      </c>
      <c r="I16" s="50"/>
    </row>
    <row r="17" spans="1:12" x14ac:dyDescent="0.35">
      <c r="A17" s="49"/>
      <c r="B17" s="43"/>
      <c r="C17">
        <f t="shared" si="0"/>
        <v>17</v>
      </c>
      <c r="D17" t="s">
        <v>110</v>
      </c>
      <c r="E17" s="45">
        <v>44708</v>
      </c>
      <c r="F17" s="45">
        <v>44708</v>
      </c>
      <c r="G17" s="43">
        <v>1</v>
      </c>
      <c r="H17" t="s">
        <v>90</v>
      </c>
      <c r="I17" s="50"/>
    </row>
    <row r="18" spans="1:12" x14ac:dyDescent="0.35">
      <c r="A18" s="49"/>
      <c r="B18" s="43"/>
      <c r="C18">
        <f t="shared" si="0"/>
        <v>18</v>
      </c>
      <c r="D18" t="s">
        <v>111</v>
      </c>
      <c r="E18" s="45">
        <v>44711</v>
      </c>
      <c r="F18" s="45">
        <v>44711</v>
      </c>
      <c r="G18" s="43">
        <v>1</v>
      </c>
      <c r="H18" t="s">
        <v>90</v>
      </c>
      <c r="I18" s="50"/>
    </row>
    <row r="19" spans="1:12" x14ac:dyDescent="0.35">
      <c r="A19" s="49"/>
      <c r="B19" s="43"/>
      <c r="C19">
        <f t="shared" si="0"/>
        <v>19</v>
      </c>
      <c r="D19" t="s">
        <v>99</v>
      </c>
      <c r="E19" s="45">
        <v>44712</v>
      </c>
      <c r="F19" s="45">
        <v>44712</v>
      </c>
      <c r="G19" s="43">
        <v>1</v>
      </c>
      <c r="H19" t="s">
        <v>100</v>
      </c>
      <c r="I19" s="50"/>
    </row>
    <row r="20" spans="1:12" x14ac:dyDescent="0.35">
      <c r="A20" s="49"/>
      <c r="B20" s="43"/>
      <c r="I20" s="50"/>
    </row>
    <row r="21" spans="1:12" x14ac:dyDescent="0.35">
      <c r="A21" s="54" t="s">
        <v>101</v>
      </c>
      <c r="B21" s="57"/>
      <c r="C21" s="55"/>
      <c r="D21" s="55"/>
      <c r="E21" s="55"/>
      <c r="F21" s="55"/>
      <c r="G21" s="57">
        <f>SUM(G2:G20)</f>
        <v>17</v>
      </c>
      <c r="H21" s="55"/>
      <c r="I21" s="56"/>
    </row>
    <row r="22" spans="1:12" s="61" customFormat="1" x14ac:dyDescent="0.35">
      <c r="A22" s="59"/>
      <c r="B22" s="60"/>
      <c r="C22" s="59"/>
      <c r="D22" s="59"/>
      <c r="E22" s="59"/>
      <c r="F22" s="59"/>
      <c r="G22" s="60"/>
      <c r="H22" s="59"/>
      <c r="I22" s="59"/>
    </row>
    <row r="24" spans="1:12" ht="15.5" x14ac:dyDescent="0.35">
      <c r="A24" s="51"/>
      <c r="B24" s="46" t="s">
        <v>81</v>
      </c>
      <c r="C24" s="46" t="s">
        <v>82</v>
      </c>
      <c r="D24" s="46" t="s">
        <v>83</v>
      </c>
      <c r="E24" s="46" t="s">
        <v>84</v>
      </c>
      <c r="F24" s="46" t="s">
        <v>85</v>
      </c>
      <c r="G24" s="46" t="s">
        <v>86</v>
      </c>
      <c r="H24" s="46" t="s">
        <v>87</v>
      </c>
      <c r="I24" s="47" t="s">
        <v>88</v>
      </c>
      <c r="J24" s="44"/>
      <c r="K24" s="44"/>
      <c r="L24" s="44"/>
    </row>
    <row r="25" spans="1:12" x14ac:dyDescent="0.35">
      <c r="A25" s="49"/>
      <c r="C25">
        <v>1</v>
      </c>
      <c r="D25" t="s">
        <v>112</v>
      </c>
      <c r="E25" s="45">
        <v>44712</v>
      </c>
      <c r="F25" s="45">
        <v>44712</v>
      </c>
      <c r="G25" s="43">
        <v>1</v>
      </c>
      <c r="H25" t="s">
        <v>90</v>
      </c>
      <c r="I25" s="50"/>
    </row>
    <row r="26" spans="1:12" x14ac:dyDescent="0.35">
      <c r="A26" s="49"/>
      <c r="C26">
        <v>2</v>
      </c>
      <c r="D26" t="s">
        <v>113</v>
      </c>
      <c r="E26" s="45">
        <v>44713</v>
      </c>
      <c r="F26" s="45">
        <v>44713</v>
      </c>
      <c r="G26" s="43">
        <v>1</v>
      </c>
      <c r="H26" t="s">
        <v>94</v>
      </c>
      <c r="I26" s="50"/>
    </row>
    <row r="27" spans="1:12" x14ac:dyDescent="0.35">
      <c r="A27" s="49"/>
      <c r="B27" s="44"/>
      <c r="C27">
        <v>3</v>
      </c>
      <c r="D27" t="s">
        <v>114</v>
      </c>
      <c r="E27" s="45">
        <v>44714</v>
      </c>
      <c r="F27" s="45">
        <v>44714</v>
      </c>
      <c r="G27" s="43">
        <v>1</v>
      </c>
      <c r="H27" t="s">
        <v>94</v>
      </c>
      <c r="I27" s="50"/>
    </row>
    <row r="28" spans="1:12" x14ac:dyDescent="0.35">
      <c r="A28" s="49"/>
      <c r="C28">
        <v>4</v>
      </c>
      <c r="D28" t="s">
        <v>115</v>
      </c>
      <c r="E28" s="45">
        <v>44715</v>
      </c>
      <c r="F28" s="45">
        <v>44715</v>
      </c>
      <c r="G28" s="43">
        <v>1</v>
      </c>
      <c r="H28" t="s">
        <v>94</v>
      </c>
      <c r="I28" s="50"/>
    </row>
    <row r="29" spans="1:12" x14ac:dyDescent="0.35">
      <c r="A29" s="49"/>
      <c r="B29" s="43">
        <v>3</v>
      </c>
      <c r="C29">
        <v>5</v>
      </c>
      <c r="D29" t="s">
        <v>116</v>
      </c>
      <c r="E29" s="45">
        <v>44718</v>
      </c>
      <c r="F29" s="45">
        <v>44718</v>
      </c>
      <c r="G29" s="43">
        <v>1</v>
      </c>
      <c r="H29" t="s">
        <v>94</v>
      </c>
      <c r="I29" s="50"/>
    </row>
    <row r="30" spans="1:12" x14ac:dyDescent="0.35">
      <c r="A30" s="49"/>
      <c r="B30" s="43"/>
      <c r="C30">
        <v>6</v>
      </c>
      <c r="D30" t="s">
        <v>117</v>
      </c>
      <c r="E30" s="45">
        <v>44719</v>
      </c>
      <c r="F30" s="45">
        <v>44719</v>
      </c>
      <c r="G30" s="43">
        <v>1</v>
      </c>
      <c r="H30" t="s">
        <v>94</v>
      </c>
      <c r="I30" s="50"/>
    </row>
    <row r="31" spans="1:12" x14ac:dyDescent="0.35">
      <c r="A31" s="49"/>
      <c r="B31" s="43"/>
      <c r="C31">
        <v>7</v>
      </c>
      <c r="D31" t="s">
        <v>118</v>
      </c>
      <c r="E31" s="45">
        <v>44720</v>
      </c>
      <c r="F31" s="45">
        <v>44722</v>
      </c>
      <c r="G31" s="43">
        <v>3</v>
      </c>
      <c r="H31" t="s">
        <v>90</v>
      </c>
      <c r="I31" s="50"/>
    </row>
    <row r="32" spans="1:12" x14ac:dyDescent="0.35">
      <c r="A32" s="49"/>
      <c r="B32" s="43"/>
      <c r="I32" s="50"/>
    </row>
    <row r="33" spans="1:12" x14ac:dyDescent="0.35">
      <c r="A33" s="54" t="s">
        <v>101</v>
      </c>
      <c r="B33" s="57"/>
      <c r="C33" s="55"/>
      <c r="D33" s="55"/>
      <c r="E33" s="55"/>
      <c r="F33" s="55"/>
      <c r="G33" s="57">
        <f>SUM(G25:G32)</f>
        <v>9</v>
      </c>
      <c r="H33" s="55"/>
      <c r="I33" s="56"/>
    </row>
    <row r="37" spans="1:12" ht="15.5" x14ac:dyDescent="0.35">
      <c r="A37" s="51"/>
      <c r="B37" s="46" t="s">
        <v>81</v>
      </c>
      <c r="C37" s="46" t="s">
        <v>82</v>
      </c>
      <c r="D37" s="46" t="s">
        <v>83</v>
      </c>
      <c r="E37" s="46" t="s">
        <v>84</v>
      </c>
      <c r="F37" s="46" t="s">
        <v>85</v>
      </c>
      <c r="G37" s="46" t="s">
        <v>86</v>
      </c>
      <c r="H37" s="46" t="s">
        <v>87</v>
      </c>
      <c r="I37" s="47" t="s">
        <v>88</v>
      </c>
      <c r="J37" s="44"/>
      <c r="K37" s="44"/>
      <c r="L37" s="44"/>
    </row>
    <row r="38" spans="1:12" x14ac:dyDescent="0.35">
      <c r="A38" s="49"/>
      <c r="C38">
        <v>1</v>
      </c>
      <c r="D38" t="s">
        <v>119</v>
      </c>
      <c r="E38" s="45">
        <v>44725</v>
      </c>
      <c r="F38" s="45">
        <v>44725</v>
      </c>
      <c r="G38" s="43">
        <v>1</v>
      </c>
      <c r="H38" t="s">
        <v>100</v>
      </c>
      <c r="I38" s="50"/>
    </row>
    <row r="39" spans="1:12" x14ac:dyDescent="0.35">
      <c r="A39" s="49"/>
      <c r="C39">
        <v>2</v>
      </c>
      <c r="D39" t="s">
        <v>120</v>
      </c>
      <c r="E39" s="45">
        <v>44726</v>
      </c>
      <c r="F39" s="45">
        <v>44726</v>
      </c>
      <c r="G39" s="43">
        <v>1</v>
      </c>
      <c r="H39" t="s">
        <v>100</v>
      </c>
      <c r="I39" s="50"/>
    </row>
    <row r="40" spans="1:12" x14ac:dyDescent="0.35">
      <c r="A40" s="49"/>
      <c r="B40" s="44"/>
      <c r="C40">
        <v>3</v>
      </c>
      <c r="D40" t="s">
        <v>121</v>
      </c>
      <c r="E40" s="45">
        <v>44727</v>
      </c>
      <c r="F40" s="45">
        <v>44727</v>
      </c>
      <c r="G40" s="43">
        <v>1</v>
      </c>
      <c r="H40" t="s">
        <v>94</v>
      </c>
      <c r="I40" s="50" t="s">
        <v>122</v>
      </c>
    </row>
    <row r="41" spans="1:12" x14ac:dyDescent="0.35">
      <c r="A41" s="49"/>
      <c r="C41">
        <v>4</v>
      </c>
      <c r="D41" t="s">
        <v>123</v>
      </c>
      <c r="E41" s="45">
        <v>44727</v>
      </c>
      <c r="F41" s="45">
        <v>44727</v>
      </c>
      <c r="G41" s="43">
        <v>1</v>
      </c>
      <c r="H41" t="s">
        <v>94</v>
      </c>
      <c r="I41" s="50" t="s">
        <v>122</v>
      </c>
    </row>
    <row r="42" spans="1:12" x14ac:dyDescent="0.35">
      <c r="A42" s="49"/>
      <c r="B42" s="43">
        <v>4</v>
      </c>
      <c r="C42">
        <v>5</v>
      </c>
      <c r="D42" t="s">
        <v>124</v>
      </c>
      <c r="E42" s="45">
        <v>44728</v>
      </c>
      <c r="F42" s="45">
        <v>44732</v>
      </c>
      <c r="G42" s="43">
        <v>3</v>
      </c>
      <c r="H42" t="s">
        <v>90</v>
      </c>
      <c r="I42" s="50"/>
    </row>
    <row r="43" spans="1:12" x14ac:dyDescent="0.35">
      <c r="A43" s="49"/>
      <c r="B43" s="43"/>
      <c r="C43">
        <v>6</v>
      </c>
      <c r="D43" t="s">
        <v>125</v>
      </c>
      <c r="E43" s="45">
        <v>44735</v>
      </c>
      <c r="F43" s="45">
        <v>44736</v>
      </c>
      <c r="G43" s="43">
        <v>1</v>
      </c>
      <c r="H43" t="s">
        <v>90</v>
      </c>
      <c r="I43" s="50"/>
    </row>
    <row r="44" spans="1:12" x14ac:dyDescent="0.35">
      <c r="A44" s="49"/>
      <c r="B44" s="43"/>
      <c r="I44" s="50"/>
    </row>
    <row r="45" spans="1:12" x14ac:dyDescent="0.35">
      <c r="A45" s="54" t="s">
        <v>101</v>
      </c>
      <c r="B45" s="57"/>
      <c r="C45" s="55"/>
      <c r="D45" s="55"/>
      <c r="E45" s="55"/>
      <c r="F45" s="55"/>
      <c r="G45" s="57">
        <f>SUM(G39:G44)</f>
        <v>7</v>
      </c>
      <c r="H45" s="55"/>
      <c r="I45" s="56"/>
    </row>
  </sheetData>
  <mergeCells count="3">
    <mergeCell ref="G2:G4"/>
    <mergeCell ref="G7:G8"/>
    <mergeCell ref="G11:G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B727354899D245B37D56FB83AE4A29" ma:contentTypeVersion="2" ma:contentTypeDescription="Crear nuevo documento." ma:contentTypeScope="" ma:versionID="69f0c05af5b79cb1128851f234a0ee50">
  <xsd:schema xmlns:xsd="http://www.w3.org/2001/XMLSchema" xmlns:xs="http://www.w3.org/2001/XMLSchema" xmlns:p="http://schemas.microsoft.com/office/2006/metadata/properties" xmlns:ns2="3848bfa7-af2b-4bc9-b384-1661cf8f0b7b" targetNamespace="http://schemas.microsoft.com/office/2006/metadata/properties" ma:root="true" ma:fieldsID="4770292e08d6ee05133d21339781b8b6" ns2:_="">
    <xsd:import namespace="3848bfa7-af2b-4bc9-b384-1661cf8f0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8bfa7-af2b-4bc9-b384-1661cf8f0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FAB759-F220-41C4-ACEA-3D481C6280E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003C8C-345B-4720-8FA9-F11020A4D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8bfa7-af2b-4bc9-b384-1661cf8f0b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39CCA2-D55D-48EC-A64D-ADE38C062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Product Backlog</vt:lpstr>
      <vt:lpstr>Product Backlog Corregido</vt:lpstr>
      <vt:lpstr>Product Backlog Corregido 2.0</vt:lpstr>
      <vt:lpstr>SPRINT</vt:lpstr>
      <vt:lpstr>'Product Backlog'!Área_de_impresión</vt:lpstr>
      <vt:lpstr>'Product Backlog Corregido'!Área_de_impresión</vt:lpstr>
      <vt:lpstr>'Product Backlog Corregido 2.0'!Área_de_impresión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Negid Inati Matheus</cp:lastModifiedBy>
  <cp:revision/>
  <dcterms:created xsi:type="dcterms:W3CDTF">2012-09-02T03:53:17Z</dcterms:created>
  <dcterms:modified xsi:type="dcterms:W3CDTF">2022-05-16T06:50:55Z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0x010100D2B727354899D245B37D56FB83AE4A29</vt:lpwstr>
  </property>
</Properties>
</file>